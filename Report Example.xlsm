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8adf18b9b20783a/Desktop/Data Report/"/>
    </mc:Choice>
  </mc:AlternateContent>
  <xr:revisionPtr revIDLastSave="0" documentId="8_{0CD6F9BC-CF13-46AB-8EB1-16292F198EAD}" xr6:coauthVersionLast="47" xr6:coauthVersionMax="47" xr10:uidLastSave="{00000000-0000-0000-0000-000000000000}"/>
  <bookViews>
    <workbookView xWindow="2355" yWindow="75" windowWidth="17820" windowHeight="15480" activeTab="1" xr2:uid="{CC8EA44D-2CCE-409A-8F92-003C9AF1A977}"/>
  </bookViews>
  <sheets>
    <sheet name="Data Report" sheetId="199" r:id="rId1"/>
    <sheet name="Sample Data" sheetId="13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39" l="1"/>
  <c r="B11" i="139"/>
  <c r="C11" i="139"/>
  <c r="E11" i="139" s="1"/>
  <c r="D11" i="139"/>
  <c r="B10" i="139"/>
  <c r="C10" i="139"/>
  <c r="F10" i="139" s="1"/>
  <c r="D10" i="139"/>
  <c r="B9" i="139"/>
  <c r="C9" i="139"/>
  <c r="E9" i="139" s="1"/>
  <c r="F9" i="139" l="1"/>
  <c r="E10" i="139"/>
  <c r="F11" i="139"/>
  <c r="C8" i="139" l="1"/>
  <c r="F8" i="139" s="1"/>
  <c r="B8" i="139"/>
  <c r="D7" i="139"/>
  <c r="C7" i="139"/>
  <c r="F7" i="139" s="1"/>
  <c r="B7" i="139"/>
  <c r="D6" i="139"/>
  <c r="C6" i="139"/>
  <c r="F6" i="139" s="1"/>
  <c r="B6" i="139"/>
  <c r="D5" i="139"/>
  <c r="C5" i="139"/>
  <c r="F5" i="139" s="1"/>
  <c r="B5" i="139"/>
  <c r="D4" i="139"/>
  <c r="C4" i="139"/>
  <c r="F4" i="139" s="1"/>
  <c r="B4" i="139"/>
  <c r="D3" i="139"/>
  <c r="C3" i="139"/>
  <c r="F3" i="139" s="1"/>
  <c r="B3" i="139"/>
  <c r="D2" i="139"/>
  <c r="C2" i="139"/>
  <c r="F2" i="139" s="1"/>
  <c r="B2" i="139"/>
  <c r="E8" i="139" l="1"/>
  <c r="E7" i="139"/>
  <c r="E5" i="139"/>
  <c r="E3" i="139"/>
  <c r="E6" i="139"/>
  <c r="E2" i="139"/>
</calcChain>
</file>

<file path=xl/sharedStrings.xml><?xml version="1.0" encoding="utf-8"?>
<sst xmlns="http://schemas.openxmlformats.org/spreadsheetml/2006/main" count="33" uniqueCount="15">
  <si>
    <t>Correlation Matrix</t>
  </si>
  <si>
    <t>Mean</t>
  </si>
  <si>
    <t>Median</t>
  </si>
  <si>
    <t>Min</t>
  </si>
  <si>
    <t>Max</t>
  </si>
  <si>
    <t>Std Dev</t>
  </si>
  <si>
    <t>Missing</t>
  </si>
  <si>
    <t>Single Variable Data</t>
  </si>
  <si>
    <t xml:space="preserve">Other </t>
  </si>
  <si>
    <t>Data Report For Sample Data</t>
  </si>
  <si>
    <t>Walk</t>
  </si>
  <si>
    <t>Car</t>
  </si>
  <si>
    <t>Bike</t>
  </si>
  <si>
    <t>Transit</t>
  </si>
  <si>
    <t>Home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</si>
</sst>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Continuous"/>
    </xf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0" fontId="3" fillId="0" borderId="0" xfId="0" applyFont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" fillId="0" borderId="2" xfId="0" applyFont="1" applyBorder="1" applyAlignment="1">
      <alignment horizontal="center"/>
    </xf>
    <xf numFmtId="0" fontId="1" fillId="0" borderId="2" xfId="0" applyFont="1" applyBorder="1"/>
    <xf numFmtId="0" fontId="0" fillId="0" borderId="2" xfId="0" applyBorder="1"/>
  </cellXfs>
  <cellStyles count="1">
    <cellStyle name="Normal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EE492-F806-4B29-890A-BBA1AC8A19CD}">
  <sheetPr codeName="Sheet11"/>
  <dimension ref="A1:I19"/>
  <sheetViews>
    <sheetView workbookViewId="0">
      <selection activeCell="L7" sqref="L7"/>
    </sheetView>
  </sheetViews>
  <sheetFormatPr defaultRowHeight="15" x14ac:dyDescent="0.25"/>
  <sheetData>
    <row r="1" spans="1:9" ht="31.5" x14ac:dyDescent="0.5">
      <c r="A1" s="6" t="s">
        <v>9</v>
      </c>
      <c r="B1" s="1"/>
      <c r="C1" s="1"/>
      <c r="D1" s="1"/>
      <c r="E1" s="1"/>
      <c r="F1" s="1"/>
      <c r="G1" s="1"/>
      <c r="H1" s="1"/>
      <c r="I1" s="1"/>
    </row>
    <row r="3" spans="1:9" x14ac:dyDescent="0.25">
      <c r="B3" s="7" t="s">
        <v>0</v>
      </c>
      <c r="C3" s="8"/>
      <c r="D3" s="8"/>
      <c r="E3" s="8"/>
      <c r="F3" s="8"/>
      <c r="G3" s="8"/>
      <c r="H3" s="8"/>
    </row>
    <row r="4" spans="1:9" x14ac:dyDescent="0.25">
      <c r="B4" s="9"/>
      <c r="C4" s="10" t="s">
        <v>11</v>
      </c>
      <c r="D4" s="10" t="s">
        <v>13</v>
      </c>
      <c r="E4" s="10" t="s">
        <v>10</v>
      </c>
      <c r="F4" s="10" t="s">
        <v>12</v>
      </c>
      <c r="G4" s="10" t="s">
        <v>14</v>
      </c>
      <c r="H4" s="10" t="s">
        <v>8</v>
      </c>
    </row>
    <row r="5" spans="1:9" x14ac:dyDescent="0.25">
      <c r="B5" s="10" t="s">
        <v>11</v>
      </c>
      <c r="C5" s="11">
        <v>1</v>
      </c>
      <c r="D5" s="11">
        <v>0.99440110624941758</v>
      </c>
      <c r="E5" s="11">
        <v>-0.9955326631964635</v>
      </c>
      <c r="F5" s="11">
        <v>0.9810154043998377</v>
      </c>
      <c r="G5" s="11">
        <v>0.95724205227981896</v>
      </c>
      <c r="H5" s="11">
        <v>-0.90207972464561914</v>
      </c>
    </row>
    <row r="6" spans="1:9" x14ac:dyDescent="0.25">
      <c r="B6" s="10" t="s">
        <v>13</v>
      </c>
      <c r="C6" s="11">
        <v>0.99440110624941758</v>
      </c>
      <c r="D6" s="11">
        <v>1</v>
      </c>
      <c r="E6" s="11">
        <v>-0.99345952577541474</v>
      </c>
      <c r="F6" s="11">
        <v>0.98413323604253222</v>
      </c>
      <c r="G6" s="11">
        <v>0.96597297142564653</v>
      </c>
      <c r="H6" s="11">
        <v>-0.94998593413887544</v>
      </c>
    </row>
    <row r="7" spans="1:9" x14ac:dyDescent="0.25">
      <c r="B7" s="10" t="s">
        <v>10</v>
      </c>
      <c r="C7" s="11">
        <v>-0.9955326631964635</v>
      </c>
      <c r="D7" s="11">
        <v>-0.99345952577541474</v>
      </c>
      <c r="E7" s="11">
        <v>1</v>
      </c>
      <c r="F7" s="11">
        <v>-0.99311072153672075</v>
      </c>
      <c r="G7" s="11">
        <v>-0.97692775607489735</v>
      </c>
      <c r="H7" s="11">
        <v>0.94944245860576004</v>
      </c>
    </row>
    <row r="8" spans="1:9" x14ac:dyDescent="0.25">
      <c r="B8" s="10" t="s">
        <v>12</v>
      </c>
      <c r="C8" s="11">
        <v>0.9810154043998377</v>
      </c>
      <c r="D8" s="11">
        <v>0.98413323604253222</v>
      </c>
      <c r="E8" s="11">
        <v>-0.99311072153672075</v>
      </c>
      <c r="F8" s="11">
        <v>1</v>
      </c>
      <c r="G8" s="11">
        <v>0.93342753254464694</v>
      </c>
      <c r="H8" s="11">
        <v>-0.92230667424903756</v>
      </c>
    </row>
    <row r="9" spans="1:9" x14ac:dyDescent="0.25">
      <c r="B9" s="10" t="s">
        <v>14</v>
      </c>
      <c r="C9" s="11">
        <v>0.95724205227981896</v>
      </c>
      <c r="D9" s="11">
        <v>0.96597297142564653</v>
      </c>
      <c r="E9" s="11">
        <v>-0.97692775607489735</v>
      </c>
      <c r="F9" s="11">
        <v>0.93342753254464694</v>
      </c>
      <c r="G9" s="11">
        <v>1</v>
      </c>
      <c r="H9" s="11">
        <v>-0.91198816960225282</v>
      </c>
    </row>
    <row r="10" spans="1:9" x14ac:dyDescent="0.25">
      <c r="B10" s="10" t="s">
        <v>8</v>
      </c>
      <c r="C10" s="11">
        <v>-0.90207972464561914</v>
      </c>
      <c r="D10" s="11">
        <v>-0.94998593413887544</v>
      </c>
      <c r="E10" s="11">
        <v>0.94944245860576004</v>
      </c>
      <c r="F10" s="11">
        <v>-0.92230667424903756</v>
      </c>
      <c r="G10" s="11">
        <v>-0.91198816960225282</v>
      </c>
      <c r="H10" s="11">
        <v>1</v>
      </c>
    </row>
    <row r="12" spans="1:9" x14ac:dyDescent="0.25">
      <c r="B12" s="4" t="s">
        <v>7</v>
      </c>
      <c r="C12" s="5"/>
      <c r="D12" s="5"/>
      <c r="E12" s="5"/>
      <c r="F12" s="5"/>
      <c r="G12" s="5"/>
      <c r="H12" s="5"/>
    </row>
    <row r="13" spans="1:9" x14ac:dyDescent="0.25">
      <c r="B13" s="3"/>
      <c r="C13" s="2" t="s">
        <v>6</v>
      </c>
      <c r="D13" s="2" t="s">
        <v>3</v>
      </c>
      <c r="E13" s="2" t="s">
        <v>4</v>
      </c>
      <c r="F13" s="2" t="s">
        <v>1</v>
      </c>
      <c r="G13" s="2" t="s">
        <v>2</v>
      </c>
      <c r="H13" s="2" t="s">
        <v>5</v>
      </c>
    </row>
    <row r="14" spans="1:9" x14ac:dyDescent="0.25">
      <c r="B14" s="2" t="s">
        <v>11</v>
      </c>
      <c r="C14" s="3">
        <v>2</v>
      </c>
      <c r="D14" s="3">
        <v>1</v>
      </c>
      <c r="E14" s="3">
        <v>10</v>
      </c>
      <c r="F14" s="3">
        <v>5.625</v>
      </c>
      <c r="G14" s="3">
        <v>5.5</v>
      </c>
      <c r="H14" s="3">
        <v>3.2486260832190936</v>
      </c>
    </row>
    <row r="15" spans="1:9" x14ac:dyDescent="0.25">
      <c r="B15" s="2" t="s">
        <v>13</v>
      </c>
      <c r="C15" s="3">
        <v>0</v>
      </c>
      <c r="D15" s="3">
        <v>3.6691968045316936E-2</v>
      </c>
      <c r="E15" s="3">
        <v>10.621228753451662</v>
      </c>
      <c r="F15" s="3">
        <v>4.9372825986500901</v>
      </c>
      <c r="G15" s="3">
        <v>5.1830256563079908</v>
      </c>
      <c r="H15" s="3">
        <v>3.6974614741691503</v>
      </c>
    </row>
    <row r="16" spans="1:9" x14ac:dyDescent="0.25">
      <c r="B16" s="2" t="s">
        <v>10</v>
      </c>
      <c r="C16" s="3">
        <v>0</v>
      </c>
      <c r="D16" s="3">
        <v>-9.2736500412228846</v>
      </c>
      <c r="E16" s="3">
        <v>0.95291102799922656</v>
      </c>
      <c r="F16" s="3">
        <v>-4.0687268242895911</v>
      </c>
      <c r="G16" s="3">
        <v>-3.9441002612479013</v>
      </c>
      <c r="H16" s="3">
        <v>3.7440348432307617</v>
      </c>
    </row>
    <row r="17" spans="2:8" x14ac:dyDescent="0.25">
      <c r="B17" s="2" t="s">
        <v>12</v>
      </c>
      <c r="C17" s="3">
        <v>1</v>
      </c>
      <c r="D17" s="3">
        <v>1.1316660900979789</v>
      </c>
      <c r="E17" s="3">
        <v>11.51838242769047</v>
      </c>
      <c r="F17" s="3">
        <v>6.011265358960916</v>
      </c>
      <c r="G17" s="3">
        <v>5.728964240556965</v>
      </c>
      <c r="H17" s="3">
        <v>3.6959702711321678</v>
      </c>
    </row>
    <row r="18" spans="2:8" x14ac:dyDescent="0.25">
      <c r="B18" s="2" t="s">
        <v>14</v>
      </c>
      <c r="C18" s="3">
        <v>1</v>
      </c>
      <c r="D18" s="3">
        <v>1.9843809189377111</v>
      </c>
      <c r="E18" s="3">
        <v>19.784813988363791</v>
      </c>
      <c r="F18" s="3">
        <v>12.794938299349704</v>
      </c>
      <c r="G18" s="3">
        <v>11.017127237265001</v>
      </c>
      <c r="H18" s="3">
        <v>6.9679078323966737</v>
      </c>
    </row>
    <row r="19" spans="2:8" x14ac:dyDescent="0.25">
      <c r="B19" s="2" t="s">
        <v>8</v>
      </c>
      <c r="C19" s="3">
        <v>0</v>
      </c>
      <c r="D19" s="3">
        <v>-28.31217618161341</v>
      </c>
      <c r="E19" s="3">
        <v>-3.6406973273202281</v>
      </c>
      <c r="F19" s="3">
        <v>-12.911588993974508</v>
      </c>
      <c r="G19" s="3">
        <v>-12.12832376541958</v>
      </c>
      <c r="H19" s="3">
        <v>8.074943058638798</v>
      </c>
    </row>
  </sheetData>
  <conditionalFormatting sqref="B3:H10">
    <cfRule type="colorScale" priority="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C14:C19">
    <cfRule type="cellIs" dxfId="0" priority="6" operator="greaterThan">
      <formula>0</formula>
    </cfRule>
  </conditionalFormatting>
  <conditionalFormatting sqref="D14:D19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14:E19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4:F19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G14:G19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14:H19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4C0D-53F5-479C-9374-83D117390FD9}">
  <sheetPr codeName="Sheet87"/>
  <dimension ref="A1:F11"/>
  <sheetViews>
    <sheetView tabSelected="1" workbookViewId="0">
      <selection sqref="A1:F1"/>
    </sheetView>
  </sheetViews>
  <sheetFormatPr defaultRowHeight="15" x14ac:dyDescent="0.25"/>
  <cols>
    <col min="3" max="3" width="11.140625" customWidth="1"/>
  </cols>
  <sheetData>
    <row r="1" spans="1:6" x14ac:dyDescent="0.25">
      <c r="A1" t="s">
        <v>11</v>
      </c>
      <c r="B1" t="s">
        <v>13</v>
      </c>
      <c r="C1" t="s">
        <v>10</v>
      </c>
      <c r="D1" t="s">
        <v>12</v>
      </c>
      <c r="E1" t="s">
        <v>14</v>
      </c>
      <c r="F1" t="s">
        <v>8</v>
      </c>
    </row>
    <row r="2" spans="1:6" x14ac:dyDescent="0.25">
      <c r="A2">
        <v>1</v>
      </c>
      <c r="B2">
        <f ca="1">A2 + RAND()</f>
        <v>1.228337462786413</v>
      </c>
      <c r="C2">
        <f ca="1">-1*A2 + RAND()</f>
        <v>-8.9918120807792157E-2</v>
      </c>
      <c r="D2">
        <f ca="1">A2 +2*RAND()</f>
        <v>1.1822463946502892</v>
      </c>
      <c r="E2">
        <f ca="1">-2*C2 + 6*RAND()</f>
        <v>0.224700406388886</v>
      </c>
      <c r="F2">
        <f ca="1">2*C2 - 10*RAND()</f>
        <v>-10.157916528539014</v>
      </c>
    </row>
    <row r="3" spans="1:6" x14ac:dyDescent="0.25">
      <c r="A3">
        <v>2</v>
      </c>
      <c r="B3">
        <f t="shared" ref="B3:B11" ca="1" si="0">A3 + RAND()</f>
        <v>2.7890266632149943</v>
      </c>
      <c r="C3">
        <f t="shared" ref="C3:C11" ca="1" si="1">-1*A3 + RAND()</f>
        <v>-1.2163958191787014</v>
      </c>
      <c r="D3">
        <f t="shared" ref="D3:D11" ca="1" si="2">A3 +2*RAND()</f>
        <v>3.1786752999801577</v>
      </c>
      <c r="E3">
        <f t="shared" ref="E3:E11" ca="1" si="3">-2*C3 + 6*RAND()</f>
        <v>3.2285252803031144</v>
      </c>
      <c r="F3">
        <f t="shared" ref="F3:F11" ca="1" si="4">2*C3 - 10*RAND()</f>
        <v>-3.8137901125402736</v>
      </c>
    </row>
    <row r="4" spans="1:6" x14ac:dyDescent="0.25">
      <c r="B4">
        <f t="shared" ca="1" si="0"/>
        <v>0.92450522420764636</v>
      </c>
      <c r="C4">
        <f t="shared" ca="1" si="1"/>
        <v>0.25767827174447844</v>
      </c>
      <c r="D4">
        <f t="shared" ca="1" si="2"/>
        <v>1.4581324765671528</v>
      </c>
      <c r="F4">
        <f t="shared" ca="1" si="4"/>
        <v>-1.5694599610298459</v>
      </c>
    </row>
    <row r="5" spans="1:6" x14ac:dyDescent="0.25">
      <c r="A5">
        <v>4</v>
      </c>
      <c r="B5">
        <f t="shared" ca="1" si="0"/>
        <v>4.0317745626955439</v>
      </c>
      <c r="C5">
        <f t="shared" ca="1" si="1"/>
        <v>-3.7297383608937369</v>
      </c>
      <c r="D5">
        <f t="shared" ca="1" si="2"/>
        <v>5.7453655303326512</v>
      </c>
      <c r="E5">
        <f t="shared" ca="1" si="3"/>
        <v>11.624919908417521</v>
      </c>
      <c r="F5">
        <f t="shared" ca="1" si="4"/>
        <v>-9.9755427929801161</v>
      </c>
    </row>
    <row r="6" spans="1:6" x14ac:dyDescent="0.25">
      <c r="A6">
        <v>5</v>
      </c>
      <c r="B6">
        <f t="shared" ca="1" si="0"/>
        <v>5.4342354768046901</v>
      </c>
      <c r="C6">
        <f t="shared" ca="1" si="1"/>
        <v>-4.1289217347239457</v>
      </c>
      <c r="D6">
        <f t="shared" ca="1" si="2"/>
        <v>6.7977929243199675</v>
      </c>
      <c r="E6">
        <f t="shared" ca="1" si="3"/>
        <v>9.7771346611475582</v>
      </c>
      <c r="F6">
        <f t="shared" ca="1" si="4"/>
        <v>-17.296748875579766</v>
      </c>
    </row>
    <row r="7" spans="1:6" x14ac:dyDescent="0.25">
      <c r="A7">
        <v>6</v>
      </c>
      <c r="B7">
        <f t="shared" ca="1" si="0"/>
        <v>6.5122743371708678</v>
      </c>
      <c r="C7">
        <f t="shared" ca="1" si="1"/>
        <v>-5.0248990740367585</v>
      </c>
      <c r="D7">
        <f t="shared" ca="1" si="2"/>
        <v>6.3081038968420859</v>
      </c>
      <c r="E7">
        <f t="shared" ca="1" si="3"/>
        <v>15.190502560966014</v>
      </c>
      <c r="F7">
        <f t="shared" ca="1" si="4"/>
        <v>-12.333375440713851</v>
      </c>
    </row>
    <row r="8" spans="1:6" x14ac:dyDescent="0.25">
      <c r="B8">
        <f t="shared" ca="1" si="0"/>
        <v>0.25208075619329573</v>
      </c>
      <c r="C8">
        <f t="shared" ca="1" si="1"/>
        <v>0.28012316105915125</v>
      </c>
      <c r="E8">
        <f t="shared" ca="1" si="3"/>
        <v>4.8104717789542395</v>
      </c>
      <c r="F8">
        <f t="shared" ca="1" si="4"/>
        <v>-5.9290448713185633</v>
      </c>
    </row>
    <row r="9" spans="1:6" x14ac:dyDescent="0.25">
      <c r="A9">
        <v>8</v>
      </c>
      <c r="B9">
        <f t="shared" ca="1" si="0"/>
        <v>8.7045449683705343</v>
      </c>
      <c r="C9">
        <f t="shared" ca="1" si="1"/>
        <v>-7.3866077040139935</v>
      </c>
      <c r="D9">
        <f ca="1">A9 +2*RAND()</f>
        <v>8.1809816812418248</v>
      </c>
      <c r="E9">
        <f t="shared" ca="1" si="3"/>
        <v>14.980035768523795</v>
      </c>
      <c r="F9">
        <f t="shared" ca="1" si="4"/>
        <v>-18.99447716329103</v>
      </c>
    </row>
    <row r="10" spans="1:6" x14ac:dyDescent="0.25">
      <c r="A10">
        <v>9</v>
      </c>
      <c r="B10">
        <f t="shared" ca="1" si="0"/>
        <v>9.7479019088539189</v>
      </c>
      <c r="C10">
        <f t="shared" ca="1" si="1"/>
        <v>-8.7957469346460169</v>
      </c>
      <c r="D10">
        <f t="shared" ca="1" si="2"/>
        <v>9.2735017456377449</v>
      </c>
      <c r="E10">
        <f t="shared" ca="1" si="3"/>
        <v>22.552288271328742</v>
      </c>
      <c r="F10">
        <f t="shared" ca="1" si="4"/>
        <v>-24.440768699771539</v>
      </c>
    </row>
    <row r="11" spans="1:6" x14ac:dyDescent="0.25">
      <c r="A11">
        <v>10</v>
      </c>
      <c r="B11">
        <f t="shared" ca="1" si="0"/>
        <v>10.251421525152011</v>
      </c>
      <c r="C11">
        <f t="shared" ca="1" si="1"/>
        <v>-9.289415877156415</v>
      </c>
      <c r="D11">
        <f t="shared" ca="1" si="2"/>
        <v>10.294617792040269</v>
      </c>
      <c r="E11">
        <f t="shared" ca="1" si="3"/>
        <v>20.106861247657864</v>
      </c>
      <c r="F11">
        <f t="shared" ca="1" si="4"/>
        <v>-26.606265415021525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Report</vt:lpstr>
      <vt:lpstr>Sample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Islambouli</dc:creator>
  <cp:lastModifiedBy>Gabriel Islambouli</cp:lastModifiedBy>
  <dcterms:created xsi:type="dcterms:W3CDTF">2025-01-12T23:22:07Z</dcterms:created>
  <dcterms:modified xsi:type="dcterms:W3CDTF">2025-01-19T21:13:19Z</dcterms:modified>
</cp:coreProperties>
</file>